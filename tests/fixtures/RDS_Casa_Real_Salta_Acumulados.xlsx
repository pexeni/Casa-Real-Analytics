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por\OneDrive\Escritorio\Exeni\"/>
    </mc:Choice>
  </mc:AlternateContent>
  <xr:revisionPtr revIDLastSave="0" documentId="13_ncr:1_{C080A1F9-B0F4-4B1D-A9F1-E61D170CBF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umulados 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1" l="1"/>
  <c r="D77" i="1"/>
  <c r="C77" i="1"/>
  <c r="C72" i="1"/>
  <c r="D72" i="1"/>
  <c r="E72" i="1"/>
  <c r="E82" i="1"/>
  <c r="D82" i="1"/>
  <c r="C82" i="1"/>
  <c r="B82" i="1"/>
  <c r="B72" i="1"/>
</calcChain>
</file>

<file path=xl/sharedStrings.xml><?xml version="1.0" encoding="utf-8"?>
<sst xmlns="http://schemas.openxmlformats.org/spreadsheetml/2006/main" count="82" uniqueCount="81">
  <si>
    <t>CASA REAL SALTA - Valores Acumulados RDS</t>
  </si>
  <si>
    <t>Períodos acumulados al cierre de cada reporte</t>
  </si>
  <si>
    <t>Concepto</t>
  </si>
  <si>
    <t>Enero (al 31/01)</t>
  </si>
  <si>
    <t>Febrero (al 28/02)</t>
  </si>
  <si>
    <t>Marzo (al 31/03)</t>
  </si>
  <si>
    <t>Abril (al 27/04)</t>
  </si>
  <si>
    <t>GRUPO HOSPEDAJE</t>
  </si>
  <si>
    <t>Alojamiento</t>
  </si>
  <si>
    <t>Desayuno (-)</t>
  </si>
  <si>
    <t>Anulaciones y Descuentos</t>
  </si>
  <si>
    <t>Subtotal Hospedaje</t>
  </si>
  <si>
    <t>GRUPO ALIMENTOS Y BEBIDAS</t>
  </si>
  <si>
    <t>Restaurante</t>
  </si>
  <si>
    <t>Confitería</t>
  </si>
  <si>
    <t>Room Service</t>
  </si>
  <si>
    <t>Frigobar</t>
  </si>
  <si>
    <t>Eventos y Banquetes</t>
  </si>
  <si>
    <t>Desayuno Incluido</t>
  </si>
  <si>
    <t>Anulaciones</t>
  </si>
  <si>
    <t>Subtotal Alimentos y Bebidas</t>
  </si>
  <si>
    <t>GRUPO EVENTOS</t>
  </si>
  <si>
    <t>Alquiler de Salón</t>
  </si>
  <si>
    <t>Alquiler de Equipamientos</t>
  </si>
  <si>
    <t>Subtotal Eventos</t>
  </si>
  <si>
    <t>GRUPO SPA CLUB</t>
  </si>
  <si>
    <t>Day Spa</t>
  </si>
  <si>
    <t>Masajes</t>
  </si>
  <si>
    <t>Subtotal Spa Club</t>
  </si>
  <si>
    <t>GRUPO LAVANDERÍA / TINTORERÍA</t>
  </si>
  <si>
    <t>Lavandería</t>
  </si>
  <si>
    <t>Subtotal Lavandería</t>
  </si>
  <si>
    <t>GRUPO COMUNICACIONES</t>
  </si>
  <si>
    <t>Telefonía</t>
  </si>
  <si>
    <t>Subtotal Comunicaciones</t>
  </si>
  <si>
    <t>GRUPO CARGOS VARIOS</t>
  </si>
  <si>
    <t>Tambor CJ Seguridad</t>
  </si>
  <si>
    <t>Misceláneos</t>
  </si>
  <si>
    <t>Anulación Requerimientos</t>
  </si>
  <si>
    <t>Cobro de Objetos</t>
  </si>
  <si>
    <t>Cochera</t>
  </si>
  <si>
    <t>Subtotal Cargos Varios</t>
  </si>
  <si>
    <t>GRUPO FORMAS DE COBRO</t>
  </si>
  <si>
    <t>Efectivo</t>
  </si>
  <si>
    <t>NC Efectivo</t>
  </si>
  <si>
    <t>American Express</t>
  </si>
  <si>
    <t>Master Card</t>
  </si>
  <si>
    <t>NC Mastercard</t>
  </si>
  <si>
    <t>Visa</t>
  </si>
  <si>
    <t>NC Visa</t>
  </si>
  <si>
    <t>Naranja</t>
  </si>
  <si>
    <t>Débito Maestro</t>
  </si>
  <si>
    <t>Depósito Bancario</t>
  </si>
  <si>
    <t>NC Depósito Bancario</t>
  </si>
  <si>
    <t>Cuentas por Cobrar</t>
  </si>
  <si>
    <t>NC Cuentas por Cobrar</t>
  </si>
  <si>
    <t>Anticipo</t>
  </si>
  <si>
    <t>Devolución Anticipo</t>
  </si>
  <si>
    <t>Débito Electrón</t>
  </si>
  <si>
    <t>Tarjeta Cabal</t>
  </si>
  <si>
    <t>Subtotal Formas de Cobro</t>
  </si>
  <si>
    <t>GRUPO IMPUESTOS</t>
  </si>
  <si>
    <t>IVA</t>
  </si>
  <si>
    <t>Reintegro IVA</t>
  </si>
  <si>
    <t>Subtotal Impuestos</t>
  </si>
  <si>
    <t>TOTALES Y SALDOS</t>
  </si>
  <si>
    <t>Total de los Grupos</t>
  </si>
  <si>
    <t>Saldo Anterior Huésp.</t>
  </si>
  <si>
    <t>Saldo Actual Huésp.</t>
  </si>
  <si>
    <t>ESTADÍSTICAS</t>
  </si>
  <si>
    <t>Habitaciones del Hotel</t>
  </si>
  <si>
    <t>Habitaciones Disponibles</t>
  </si>
  <si>
    <t>Habitaciones Ocupadas</t>
  </si>
  <si>
    <t>% Ocupación</t>
  </si>
  <si>
    <t>INDICADORES FINANCIEROS</t>
  </si>
  <si>
    <t>Diaria Media</t>
  </si>
  <si>
    <t>Diaria Media Huésped</t>
  </si>
  <si>
    <t>Diaria Media por Pernoctes</t>
  </si>
  <si>
    <t>REVPAR</t>
  </si>
  <si>
    <t>% Rec Huésp s/Rec TT</t>
  </si>
  <si>
    <t>% Rec A&amp;B s/Huésped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</si>
</sst>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\(&quot;$&quot;#,##0.00\);&quot;-&quot;"/>
    <numFmt numFmtId="165" formatCode="#,##0;\(#,##0\);&quot;-&quot;"/>
    <numFmt numFmtId="166" formatCode="0.00%;\(0.00%\);&quot;-&quot;"/>
    <numFmt numFmtId="167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7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zoomScale="85" zoomScaleNormal="85" workbookViewId="0">
      <pane xSplit="1" ySplit="4" topLeftCell="B71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38" customWidth="1"/>
    <col min="2" max="5" width="22" customWidth="1"/>
  </cols>
  <sheetData>
    <row r="1" spans="1:5" ht="21.95" customHeight="1" x14ac:dyDescent="0.25">
      <c r="A1" s="13" t="s">
        <v>0</v>
      </c>
      <c r="B1" s="12"/>
      <c r="C1" s="12"/>
      <c r="D1" s="12"/>
      <c r="E1" s="12"/>
    </row>
    <row r="2" spans="1:5" ht="15.95" customHeight="1" x14ac:dyDescent="0.25">
      <c r="A2" s="11" t="s">
        <v>1</v>
      </c>
      <c r="B2" s="12"/>
      <c r="C2" s="12"/>
      <c r="D2" s="12"/>
      <c r="E2" s="12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3"/>
      <c r="C5" s="3"/>
      <c r="D5" s="3"/>
      <c r="E5" s="3"/>
    </row>
    <row r="6" spans="1:5" x14ac:dyDescent="0.25">
      <c r="A6" s="4" t="s">
        <v>8</v>
      </c>
      <c r="B6" s="5">
        <v>154613728.18000001</v>
      </c>
      <c r="C6" s="5">
        <v>114663577.25</v>
      </c>
      <c r="D6" s="5">
        <v>192924670.15000001</v>
      </c>
      <c r="E6" s="5">
        <v>202376306.68000001</v>
      </c>
    </row>
    <row r="7" spans="1:5" x14ac:dyDescent="0.25">
      <c r="A7" s="4" t="s">
        <v>9</v>
      </c>
      <c r="B7" s="5">
        <v>-110454.55</v>
      </c>
      <c r="C7" s="5">
        <v>-79090.899999999994</v>
      </c>
      <c r="D7" s="5">
        <v>-89421.5</v>
      </c>
      <c r="E7" s="5">
        <v>-101074.38</v>
      </c>
    </row>
    <row r="8" spans="1:5" x14ac:dyDescent="0.25">
      <c r="A8" s="4" t="s">
        <v>10</v>
      </c>
      <c r="B8" s="5">
        <v>-555687.25</v>
      </c>
      <c r="C8" s="5">
        <v>-1696853.3</v>
      </c>
      <c r="D8" s="5">
        <v>-979142.03</v>
      </c>
      <c r="E8" s="5">
        <v>-702520.6</v>
      </c>
    </row>
    <row r="9" spans="1:5" x14ac:dyDescent="0.25">
      <c r="A9" s="6" t="s">
        <v>11</v>
      </c>
      <c r="B9" s="7">
        <v>153947586.38</v>
      </c>
      <c r="C9" s="7">
        <v>112887633.05</v>
      </c>
      <c r="D9" s="7">
        <v>191856106.62</v>
      </c>
      <c r="E9" s="7">
        <v>201572711.69999999</v>
      </c>
    </row>
    <row r="11" spans="1:5" x14ac:dyDescent="0.25">
      <c r="A11" s="2" t="s">
        <v>12</v>
      </c>
      <c r="B11" s="3"/>
      <c r="C11" s="3"/>
      <c r="D11" s="3"/>
      <c r="E11" s="3"/>
    </row>
    <row r="12" spans="1:5" x14ac:dyDescent="0.25">
      <c r="A12" s="4" t="s">
        <v>13</v>
      </c>
      <c r="B12" s="5">
        <v>11729901.359999999</v>
      </c>
      <c r="C12" s="5">
        <v>9038996.2899999991</v>
      </c>
      <c r="D12" s="5">
        <v>13239308.539999999</v>
      </c>
      <c r="E12" s="5">
        <v>13693820.85</v>
      </c>
    </row>
    <row r="13" spans="1:5" x14ac:dyDescent="0.25">
      <c r="A13" s="4" t="s">
        <v>14</v>
      </c>
      <c r="B13" s="5">
        <v>6838876.0700000003</v>
      </c>
      <c r="C13" s="5">
        <v>6876512.3600000003</v>
      </c>
      <c r="D13" s="5">
        <v>8342078.9000000004</v>
      </c>
      <c r="E13" s="5">
        <v>8053421.9199999999</v>
      </c>
    </row>
    <row r="14" spans="1:5" x14ac:dyDescent="0.25">
      <c r="A14" s="4" t="s">
        <v>15</v>
      </c>
      <c r="B14" s="5">
        <v>1409909.1</v>
      </c>
      <c r="C14" s="5">
        <v>977140.44</v>
      </c>
      <c r="D14" s="5">
        <v>2132999.91</v>
      </c>
      <c r="E14" s="5">
        <v>1612243.75</v>
      </c>
    </row>
    <row r="15" spans="1:5" x14ac:dyDescent="0.25">
      <c r="A15" s="4" t="s">
        <v>16</v>
      </c>
      <c r="B15" s="5">
        <v>1216694.6299999999</v>
      </c>
      <c r="C15" s="5">
        <v>1240661.52</v>
      </c>
      <c r="D15" s="5">
        <v>1288265.01</v>
      </c>
      <c r="E15" s="5">
        <v>1502479.93</v>
      </c>
    </row>
    <row r="16" spans="1:5" x14ac:dyDescent="0.25">
      <c r="A16" s="4" t="s">
        <v>17</v>
      </c>
      <c r="B16" s="5">
        <v>1259752.05</v>
      </c>
      <c r="C16" s="5">
        <v>12338429.75</v>
      </c>
      <c r="D16" s="5">
        <v>7997024.7599999998</v>
      </c>
      <c r="E16" s="5">
        <v>2531404.9500000002</v>
      </c>
    </row>
    <row r="17" spans="1:5" x14ac:dyDescent="0.25">
      <c r="A17" s="4" t="s">
        <v>18</v>
      </c>
      <c r="B17" s="5">
        <v>110454.55</v>
      </c>
      <c r="C17" s="5">
        <v>79090.899999999994</v>
      </c>
      <c r="D17" s="5">
        <v>89421.5</v>
      </c>
      <c r="E17" s="5">
        <v>101074.38</v>
      </c>
    </row>
    <row r="18" spans="1:5" x14ac:dyDescent="0.25">
      <c r="A18" s="4" t="s">
        <v>19</v>
      </c>
      <c r="B18" s="5">
        <v>-4099.17</v>
      </c>
      <c r="C18" s="5">
        <v>-12146.83</v>
      </c>
      <c r="D18" s="5">
        <v>-8181.81</v>
      </c>
      <c r="E18" s="5">
        <v>-280462.82</v>
      </c>
    </row>
    <row r="19" spans="1:5" x14ac:dyDescent="0.25">
      <c r="A19" s="6" t="s">
        <v>20</v>
      </c>
      <c r="B19" s="7">
        <v>22561488.59</v>
      </c>
      <c r="C19" s="7">
        <v>30538684.43</v>
      </c>
      <c r="D19" s="7">
        <v>33080916.809999999</v>
      </c>
      <c r="E19" s="7">
        <v>27213982.960000001</v>
      </c>
    </row>
    <row r="21" spans="1:5" x14ac:dyDescent="0.25">
      <c r="A21" s="2" t="s">
        <v>21</v>
      </c>
      <c r="B21" s="3"/>
      <c r="C21" s="3"/>
      <c r="D21" s="3"/>
      <c r="E21" s="3"/>
    </row>
    <row r="22" spans="1:5" x14ac:dyDescent="0.25">
      <c r="A22" s="4" t="s">
        <v>22</v>
      </c>
      <c r="B22" s="5">
        <v>0</v>
      </c>
      <c r="C22" s="5">
        <v>1080200</v>
      </c>
      <c r="D22" s="5">
        <v>1020100.82</v>
      </c>
      <c r="E22" s="5">
        <v>1753358.68</v>
      </c>
    </row>
    <row r="23" spans="1:5" x14ac:dyDescent="0.25">
      <c r="A23" s="4" t="s">
        <v>23</v>
      </c>
      <c r="B23" s="5">
        <v>0</v>
      </c>
      <c r="C23" s="5">
        <v>300000</v>
      </c>
      <c r="D23" s="5">
        <v>93750</v>
      </c>
      <c r="E23" s="5">
        <v>148198.35</v>
      </c>
    </row>
    <row r="24" spans="1:5" x14ac:dyDescent="0.25">
      <c r="A24" s="6" t="s">
        <v>24</v>
      </c>
      <c r="B24" s="7">
        <v>0</v>
      </c>
      <c r="C24" s="7">
        <v>1380200</v>
      </c>
      <c r="D24" s="7">
        <v>1113850.82</v>
      </c>
      <c r="E24" s="7">
        <v>1901557.03</v>
      </c>
    </row>
    <row r="26" spans="1:5" x14ac:dyDescent="0.25">
      <c r="A26" s="2" t="s">
        <v>25</v>
      </c>
      <c r="B26" s="3"/>
      <c r="C26" s="3"/>
      <c r="D26" s="3"/>
      <c r="E26" s="3"/>
    </row>
    <row r="27" spans="1:5" x14ac:dyDescent="0.25">
      <c r="A27" s="4" t="s">
        <v>26</v>
      </c>
      <c r="B27" s="5">
        <v>2396694.25</v>
      </c>
      <c r="C27" s="5">
        <v>2694876.04</v>
      </c>
      <c r="D27" s="5">
        <v>1367768.61</v>
      </c>
      <c r="E27" s="5">
        <v>876033.06</v>
      </c>
    </row>
    <row r="28" spans="1:5" x14ac:dyDescent="0.25">
      <c r="A28" s="4" t="s">
        <v>27</v>
      </c>
      <c r="B28" s="5">
        <v>998347.1</v>
      </c>
      <c r="C28" s="5">
        <v>1235371.95</v>
      </c>
      <c r="D28" s="5">
        <v>732479.37</v>
      </c>
      <c r="E28" s="5">
        <v>1308843.03</v>
      </c>
    </row>
    <row r="29" spans="1:5" x14ac:dyDescent="0.25">
      <c r="A29" s="6" t="s">
        <v>28</v>
      </c>
      <c r="B29" s="7">
        <v>3395041.35</v>
      </c>
      <c r="C29" s="7">
        <v>3930247.99</v>
      </c>
      <c r="D29" s="7">
        <v>2100247.98</v>
      </c>
      <c r="E29" s="7">
        <v>2184876.09</v>
      </c>
    </row>
    <row r="31" spans="1:5" x14ac:dyDescent="0.25">
      <c r="A31" s="2" t="s">
        <v>29</v>
      </c>
      <c r="B31" s="3"/>
      <c r="C31" s="3"/>
      <c r="D31" s="3"/>
      <c r="E31" s="3"/>
    </row>
    <row r="32" spans="1:5" x14ac:dyDescent="0.25">
      <c r="A32" s="4" t="s">
        <v>30</v>
      </c>
      <c r="B32" s="5">
        <v>410165.28</v>
      </c>
      <c r="C32" s="5">
        <v>366570.25</v>
      </c>
      <c r="D32" s="5">
        <v>5416776.8099999996</v>
      </c>
      <c r="E32" s="5">
        <v>3994545.44</v>
      </c>
    </row>
    <row r="33" spans="1:5" x14ac:dyDescent="0.25">
      <c r="A33" s="4" t="s">
        <v>10</v>
      </c>
      <c r="B33" s="5">
        <v>0</v>
      </c>
      <c r="C33" s="5">
        <v>-3471.07</v>
      </c>
      <c r="D33" s="5">
        <v>0</v>
      </c>
      <c r="E33" s="5">
        <v>0</v>
      </c>
    </row>
    <row r="34" spans="1:5" x14ac:dyDescent="0.25">
      <c r="A34" s="6" t="s">
        <v>31</v>
      </c>
      <c r="B34" s="7">
        <v>410165.28</v>
      </c>
      <c r="C34" s="7">
        <v>363099.18</v>
      </c>
      <c r="D34" s="7">
        <v>5416776.8099999996</v>
      </c>
      <c r="E34" s="7">
        <v>3994545.44</v>
      </c>
    </row>
    <row r="36" spans="1:5" x14ac:dyDescent="0.25">
      <c r="A36" s="2" t="s">
        <v>32</v>
      </c>
      <c r="B36" s="3"/>
      <c r="C36" s="3"/>
      <c r="D36" s="3"/>
      <c r="E36" s="3"/>
    </row>
    <row r="37" spans="1:5" x14ac:dyDescent="0.25">
      <c r="A37" s="4" t="s">
        <v>33</v>
      </c>
      <c r="B37" s="5">
        <v>0</v>
      </c>
      <c r="C37" s="5">
        <v>6.61</v>
      </c>
      <c r="D37" s="5">
        <v>3.31</v>
      </c>
      <c r="E37" s="5">
        <v>0</v>
      </c>
    </row>
    <row r="38" spans="1:5" x14ac:dyDescent="0.25">
      <c r="A38" s="6" t="s">
        <v>34</v>
      </c>
      <c r="B38" s="7">
        <v>0</v>
      </c>
      <c r="C38" s="7">
        <v>6.61</v>
      </c>
      <c r="D38" s="7">
        <v>3.31</v>
      </c>
      <c r="E38" s="7">
        <v>0</v>
      </c>
    </row>
    <row r="40" spans="1:5" x14ac:dyDescent="0.25">
      <c r="A40" s="2" t="s">
        <v>35</v>
      </c>
      <c r="B40" s="3"/>
      <c r="C40" s="3"/>
      <c r="D40" s="3"/>
      <c r="E40" s="3"/>
    </row>
    <row r="41" spans="1:5" x14ac:dyDescent="0.25">
      <c r="A41" s="4" t="s">
        <v>36</v>
      </c>
      <c r="B41" s="5">
        <v>0</v>
      </c>
      <c r="C41" s="5">
        <v>0</v>
      </c>
      <c r="D41" s="5">
        <v>0</v>
      </c>
      <c r="E41" s="5">
        <v>0</v>
      </c>
    </row>
    <row r="42" spans="1:5" x14ac:dyDescent="0.25">
      <c r="A42" s="4" t="s">
        <v>37</v>
      </c>
      <c r="B42" s="5">
        <v>730037.61</v>
      </c>
      <c r="C42" s="5">
        <v>556962.55000000005</v>
      </c>
      <c r="D42" s="5">
        <v>-9409234.8900000006</v>
      </c>
      <c r="E42" s="5">
        <v>545636.49</v>
      </c>
    </row>
    <row r="43" spans="1:5" x14ac:dyDescent="0.25">
      <c r="A43" s="4" t="s">
        <v>38</v>
      </c>
      <c r="B43" s="5">
        <v>-59504.13</v>
      </c>
      <c r="C43" s="5">
        <v>0</v>
      </c>
      <c r="D43" s="5">
        <v>-35950.410000000003</v>
      </c>
      <c r="E43" s="5">
        <v>0</v>
      </c>
    </row>
    <row r="44" spans="1:5" x14ac:dyDescent="0.25">
      <c r="A44" s="4" t="s">
        <v>39</v>
      </c>
      <c r="B44" s="5">
        <v>0</v>
      </c>
      <c r="C44" s="5">
        <v>0</v>
      </c>
      <c r="D44" s="5">
        <v>0</v>
      </c>
      <c r="E44" s="5">
        <v>16528.93</v>
      </c>
    </row>
    <row r="45" spans="1:5" x14ac:dyDescent="0.25">
      <c r="A45" s="4" t="s">
        <v>40</v>
      </c>
      <c r="B45" s="5">
        <v>1752066.05</v>
      </c>
      <c r="C45" s="5">
        <v>1783470.59</v>
      </c>
      <c r="D45" s="5">
        <v>1190082.3799999999</v>
      </c>
      <c r="E45" s="5">
        <v>1107437.69</v>
      </c>
    </row>
    <row r="46" spans="1:5" x14ac:dyDescent="0.25">
      <c r="A46" s="6" t="s">
        <v>41</v>
      </c>
      <c r="B46" s="7">
        <v>2422599.5299999998</v>
      </c>
      <c r="C46" s="7">
        <v>2340433.14</v>
      </c>
      <c r="D46" s="7">
        <v>-8255102.9199999999</v>
      </c>
      <c r="E46" s="7">
        <v>1669603.11</v>
      </c>
    </row>
    <row r="48" spans="1:5" x14ac:dyDescent="0.25">
      <c r="A48" s="2" t="s">
        <v>42</v>
      </c>
      <c r="B48" s="3"/>
      <c r="C48" s="3"/>
      <c r="D48" s="3"/>
      <c r="E48" s="3"/>
    </row>
    <row r="49" spans="1:5" x14ac:dyDescent="0.25">
      <c r="A49" s="4" t="s">
        <v>43</v>
      </c>
      <c r="B49" s="5">
        <v>-12047831.529999999</v>
      </c>
      <c r="C49" s="5">
        <v>-8626948</v>
      </c>
      <c r="D49" s="5">
        <v>-7942570.0099999998</v>
      </c>
      <c r="E49" s="5">
        <v>-9456676.2100000009</v>
      </c>
    </row>
    <row r="50" spans="1:5" x14ac:dyDescent="0.25">
      <c r="A50" s="4" t="s">
        <v>44</v>
      </c>
      <c r="B50" s="5">
        <v>572310</v>
      </c>
      <c r="C50" s="5">
        <v>0</v>
      </c>
      <c r="D50" s="5">
        <v>0</v>
      </c>
      <c r="E50" s="5">
        <v>0</v>
      </c>
    </row>
    <row r="51" spans="1:5" x14ac:dyDescent="0.25">
      <c r="A51" s="4" t="s">
        <v>45</v>
      </c>
      <c r="B51" s="5">
        <v>-6226835.2000000002</v>
      </c>
      <c r="C51" s="5">
        <v>-7153198.2999999998</v>
      </c>
      <c r="D51" s="5">
        <v>-11298870</v>
      </c>
      <c r="E51" s="5">
        <v>-13640787.550000001</v>
      </c>
    </row>
    <row r="52" spans="1:5" x14ac:dyDescent="0.25">
      <c r="A52" s="4" t="s">
        <v>46</v>
      </c>
      <c r="B52" s="5">
        <v>-5021789.5199999996</v>
      </c>
      <c r="C52" s="5">
        <v>-5122013.91</v>
      </c>
      <c r="D52" s="5">
        <v>-6332593</v>
      </c>
      <c r="E52" s="5">
        <v>-6828935.1600000001</v>
      </c>
    </row>
    <row r="53" spans="1:5" x14ac:dyDescent="0.25">
      <c r="A53" s="4" t="s">
        <v>47</v>
      </c>
      <c r="B53" s="5">
        <v>158449.5</v>
      </c>
      <c r="C53" s="5">
        <v>0</v>
      </c>
      <c r="D53" s="5">
        <v>0</v>
      </c>
      <c r="E53" s="5">
        <v>0</v>
      </c>
    </row>
    <row r="54" spans="1:5" x14ac:dyDescent="0.25">
      <c r="A54" s="4" t="s">
        <v>48</v>
      </c>
      <c r="B54" s="5">
        <v>-32287006.550000001</v>
      </c>
      <c r="C54" s="5">
        <v>-35390809.539999999</v>
      </c>
      <c r="D54" s="5">
        <v>-25013730.5</v>
      </c>
      <c r="E54" s="5">
        <v>-41255929.420000002</v>
      </c>
    </row>
    <row r="55" spans="1:5" x14ac:dyDescent="0.25">
      <c r="A55" s="4" t="s">
        <v>49</v>
      </c>
      <c r="B55" s="5">
        <v>0</v>
      </c>
      <c r="C55" s="5">
        <v>0</v>
      </c>
      <c r="D55" s="5">
        <v>0</v>
      </c>
      <c r="E55" s="5">
        <v>692300</v>
      </c>
    </row>
    <row r="56" spans="1:5" x14ac:dyDescent="0.25">
      <c r="A56" s="4" t="s">
        <v>50</v>
      </c>
      <c r="B56" s="5">
        <v>-424250</v>
      </c>
      <c r="C56" s="5">
        <v>-470300</v>
      </c>
      <c r="D56" s="5">
        <v>-49100</v>
      </c>
      <c r="E56" s="5">
        <v>-109500</v>
      </c>
    </row>
    <row r="57" spans="1:5" x14ac:dyDescent="0.25">
      <c r="A57" s="4" t="s">
        <v>51</v>
      </c>
      <c r="B57" s="5">
        <v>-435400</v>
      </c>
      <c r="C57" s="5">
        <v>-197100</v>
      </c>
      <c r="D57" s="5">
        <v>-553600</v>
      </c>
      <c r="E57" s="5">
        <v>-917700</v>
      </c>
    </row>
    <row r="58" spans="1:5" x14ac:dyDescent="0.25">
      <c r="A58" s="4" t="s">
        <v>52</v>
      </c>
      <c r="B58" s="5">
        <v>-15711664.720000001</v>
      </c>
      <c r="C58" s="5">
        <v>-12419325.18</v>
      </c>
      <c r="D58" s="5">
        <v>-18088060.789999999</v>
      </c>
      <c r="E58" s="5">
        <v>-17944180</v>
      </c>
    </row>
    <row r="59" spans="1:5" x14ac:dyDescent="0.25">
      <c r="A59" s="4" t="s">
        <v>53</v>
      </c>
      <c r="B59" s="5">
        <v>30000</v>
      </c>
      <c r="C59" s="5">
        <v>20000</v>
      </c>
      <c r="D59" s="5">
        <v>0</v>
      </c>
      <c r="E59" s="5">
        <v>0</v>
      </c>
    </row>
    <row r="60" spans="1:5" x14ac:dyDescent="0.25">
      <c r="A60" s="4" t="s">
        <v>54</v>
      </c>
      <c r="B60" s="5">
        <v>-57016933.490000002</v>
      </c>
      <c r="C60" s="5">
        <v>-63577597.210000001</v>
      </c>
      <c r="D60" s="5">
        <v>-38937047.880000003</v>
      </c>
      <c r="E60" s="5">
        <v>-68737884.409999996</v>
      </c>
    </row>
    <row r="61" spans="1:5" x14ac:dyDescent="0.25">
      <c r="A61" s="4" t="s">
        <v>55</v>
      </c>
      <c r="B61" s="5">
        <v>0</v>
      </c>
      <c r="C61" s="5">
        <v>0</v>
      </c>
      <c r="D61" s="5">
        <v>301696.65000000002</v>
      </c>
      <c r="E61" s="5">
        <v>0</v>
      </c>
    </row>
    <row r="62" spans="1:5" x14ac:dyDescent="0.25">
      <c r="A62" s="4" t="s">
        <v>56</v>
      </c>
      <c r="B62" s="5">
        <v>49707111.07</v>
      </c>
      <c r="C62" s="5">
        <v>50367901.740000002</v>
      </c>
      <c r="D62" s="5">
        <v>31225042.920000002</v>
      </c>
      <c r="E62" s="5">
        <v>54301676.520000003</v>
      </c>
    </row>
    <row r="63" spans="1:5" x14ac:dyDescent="0.25">
      <c r="A63" s="4" t="s">
        <v>57</v>
      </c>
      <c r="B63" s="5">
        <v>-49304010.329999998</v>
      </c>
      <c r="C63" s="5">
        <v>-50293521.57</v>
      </c>
      <c r="D63" s="5">
        <v>-31225042.969999999</v>
      </c>
      <c r="E63" s="5">
        <v>-54301676.530000001</v>
      </c>
    </row>
    <row r="64" spans="1:5" x14ac:dyDescent="0.25">
      <c r="A64" s="4" t="s">
        <v>58</v>
      </c>
      <c r="B64" s="5">
        <v>-7094726.1200000001</v>
      </c>
      <c r="C64" s="5">
        <v>-7729840.9000000004</v>
      </c>
      <c r="D64" s="5">
        <v>-7621708.2000000002</v>
      </c>
      <c r="E64" s="5">
        <v>-7937915.3499999996</v>
      </c>
    </row>
    <row r="65" spans="1:5" x14ac:dyDescent="0.25">
      <c r="A65" s="4" t="s">
        <v>59</v>
      </c>
      <c r="B65" s="5">
        <v>0</v>
      </c>
      <c r="C65" s="5">
        <v>-27000</v>
      </c>
      <c r="D65" s="5">
        <v>0</v>
      </c>
      <c r="E65" s="5">
        <v>-133300</v>
      </c>
    </row>
    <row r="66" spans="1:5" x14ac:dyDescent="0.25">
      <c r="A66" s="6" t="s">
        <v>60</v>
      </c>
      <c r="B66" s="7">
        <v>-135102576.88999999</v>
      </c>
      <c r="C66" s="7">
        <v>-140619752.87</v>
      </c>
      <c r="D66" s="7">
        <v>-115535583.78</v>
      </c>
      <c r="E66" s="7">
        <v>-166270508.11000001</v>
      </c>
    </row>
    <row r="68" spans="1:5" x14ac:dyDescent="0.25">
      <c r="A68" s="2" t="s">
        <v>61</v>
      </c>
      <c r="B68" s="3"/>
      <c r="C68" s="3"/>
      <c r="D68" s="3"/>
      <c r="E68" s="3"/>
    </row>
    <row r="69" spans="1:5" x14ac:dyDescent="0.25">
      <c r="A69" s="4" t="s">
        <v>62</v>
      </c>
      <c r="B69" s="5">
        <v>38374745.659999996</v>
      </c>
      <c r="C69" s="5">
        <v>31818084.739999998</v>
      </c>
      <c r="D69" s="5">
        <v>47315686.950000003</v>
      </c>
      <c r="E69" s="5">
        <v>50092825.619999997</v>
      </c>
    </row>
    <row r="70" spans="1:5" x14ac:dyDescent="0.25">
      <c r="A70" s="4" t="s">
        <v>63</v>
      </c>
      <c r="B70" s="5">
        <v>-5720674.96</v>
      </c>
      <c r="C70" s="5">
        <v>-4969203.49</v>
      </c>
      <c r="D70" s="5">
        <v>-3744946.36</v>
      </c>
      <c r="E70" s="5">
        <v>-4965257.4000000004</v>
      </c>
    </row>
    <row r="71" spans="1:5" x14ac:dyDescent="0.25">
      <c r="A71" s="6" t="s">
        <v>64</v>
      </c>
      <c r="B71" s="7">
        <v>32654070.699999999</v>
      </c>
      <c r="C71" s="7">
        <v>26848881.25</v>
      </c>
      <c r="D71" s="7">
        <v>43570740.590000004</v>
      </c>
      <c r="E71" s="7">
        <v>45127568.219999999</v>
      </c>
    </row>
    <row r="72" spans="1:5" x14ac:dyDescent="0.25">
      <c r="B72" s="10">
        <f>+B9+B19+B29+B24+B34+B38+B46+B66+B71</f>
        <v>80288374.940000013</v>
      </c>
      <c r="C72" s="10">
        <f t="shared" ref="C72:E72" si="0">+C9+C19+C29+C24+C34+C38+C46+C66+C71</f>
        <v>37669432.780000001</v>
      </c>
      <c r="D72" s="10">
        <f t="shared" si="0"/>
        <v>153347956.24000001</v>
      </c>
      <c r="E72" s="10">
        <f t="shared" si="0"/>
        <v>117394336.44</v>
      </c>
    </row>
    <row r="73" spans="1:5" x14ac:dyDescent="0.25">
      <c r="A73" s="2" t="s">
        <v>65</v>
      </c>
      <c r="B73" s="3"/>
      <c r="C73" s="3"/>
      <c r="D73" s="3"/>
      <c r="E73" s="3"/>
    </row>
    <row r="74" spans="1:5" x14ac:dyDescent="0.25">
      <c r="A74" s="6" t="s">
        <v>66</v>
      </c>
      <c r="B74" s="7">
        <v>80288374.939999998</v>
      </c>
      <c r="C74" s="7">
        <v>37669432.780000001</v>
      </c>
      <c r="D74" s="7">
        <v>153347956.24000001</v>
      </c>
      <c r="E74" s="7">
        <v>117394336.44</v>
      </c>
    </row>
    <row r="75" spans="1:5" x14ac:dyDescent="0.25">
      <c r="A75" s="4" t="s">
        <v>67</v>
      </c>
      <c r="B75" s="5">
        <v>436539097.13999999</v>
      </c>
      <c r="C75" s="5">
        <v>450180360.50999999</v>
      </c>
      <c r="D75" s="5">
        <v>539103599.57000005</v>
      </c>
      <c r="E75" s="5">
        <v>499956498.50999999</v>
      </c>
    </row>
    <row r="76" spans="1:5" x14ac:dyDescent="0.25">
      <c r="A76" s="4" t="s">
        <v>68</v>
      </c>
      <c r="B76" s="5">
        <v>439809730.56</v>
      </c>
      <c r="C76" s="5">
        <v>448106021.45999998</v>
      </c>
      <c r="D76" s="5">
        <v>540328049.11000001</v>
      </c>
      <c r="E76" s="5">
        <v>500150597.13</v>
      </c>
    </row>
    <row r="77" spans="1:5" x14ac:dyDescent="0.25">
      <c r="B77" s="10"/>
      <c r="C77" s="10">
        <f>+C76-B76</f>
        <v>8296290.8999999762</v>
      </c>
      <c r="D77" s="10">
        <f>+D76-C76</f>
        <v>92222027.650000036</v>
      </c>
      <c r="E77" s="10">
        <f>+E76-D76</f>
        <v>-40177451.980000019</v>
      </c>
    </row>
    <row r="78" spans="1:5" x14ac:dyDescent="0.25">
      <c r="A78" s="2" t="s">
        <v>69</v>
      </c>
      <c r="B78" s="3"/>
      <c r="C78" s="3"/>
      <c r="D78" s="3"/>
      <c r="E78" s="3"/>
    </row>
    <row r="79" spans="1:5" x14ac:dyDescent="0.25">
      <c r="A79" s="4" t="s">
        <v>70</v>
      </c>
      <c r="B79" s="8">
        <v>87</v>
      </c>
      <c r="C79" s="8">
        <v>87</v>
      </c>
      <c r="D79" s="8">
        <v>87</v>
      </c>
      <c r="E79" s="8">
        <v>87</v>
      </c>
    </row>
    <row r="80" spans="1:5" x14ac:dyDescent="0.25">
      <c r="A80" s="4" t="s">
        <v>71</v>
      </c>
      <c r="B80" s="8">
        <v>2697</v>
      </c>
      <c r="C80" s="8">
        <v>2436</v>
      </c>
      <c r="D80" s="8">
        <v>2697</v>
      </c>
      <c r="E80" s="8">
        <v>2349</v>
      </c>
    </row>
    <row r="81" spans="1:5" x14ac:dyDescent="0.25">
      <c r="A81" s="4" t="s">
        <v>72</v>
      </c>
      <c r="B81" s="8">
        <v>1373</v>
      </c>
      <c r="C81" s="8">
        <v>1024</v>
      </c>
      <c r="D81" s="8">
        <v>1724</v>
      </c>
      <c r="E81" s="8">
        <v>1726</v>
      </c>
    </row>
    <row r="82" spans="1:5" x14ac:dyDescent="0.25">
      <c r="A82" s="4" t="s">
        <v>73</v>
      </c>
      <c r="B82" s="9">
        <f>+B81/B80</f>
        <v>0.50908416759362252</v>
      </c>
      <c r="C82" s="9">
        <f t="shared" ref="C82:E82" si="1">+C81/C80</f>
        <v>0.42036124794745483</v>
      </c>
      <c r="D82" s="9">
        <f t="shared" si="1"/>
        <v>0.639228772710419</v>
      </c>
      <c r="E82" s="9">
        <f t="shared" si="1"/>
        <v>0.73478075776926355</v>
      </c>
    </row>
    <row r="84" spans="1:5" x14ac:dyDescent="0.25">
      <c r="A84" s="2" t="s">
        <v>74</v>
      </c>
      <c r="B84" s="3"/>
      <c r="C84" s="3"/>
      <c r="D84" s="3"/>
      <c r="E84" s="3"/>
    </row>
    <row r="85" spans="1:5" x14ac:dyDescent="0.25">
      <c r="A85" s="4" t="s">
        <v>75</v>
      </c>
      <c r="B85" s="5">
        <v>112124.97</v>
      </c>
      <c r="C85" s="5">
        <v>110241.83</v>
      </c>
      <c r="D85" s="5">
        <v>111285.44</v>
      </c>
      <c r="E85" s="5">
        <v>116786.04</v>
      </c>
    </row>
    <row r="86" spans="1:5" x14ac:dyDescent="0.25">
      <c r="A86" s="4" t="s">
        <v>76</v>
      </c>
      <c r="B86" s="5">
        <v>56473.8</v>
      </c>
      <c r="C86" s="5">
        <v>58309.73</v>
      </c>
      <c r="D86" s="5">
        <v>88250.28</v>
      </c>
      <c r="E86" s="5">
        <v>81840.320000000007</v>
      </c>
    </row>
    <row r="87" spans="1:5" x14ac:dyDescent="0.25">
      <c r="A87" s="4" t="s">
        <v>77</v>
      </c>
      <c r="B87" s="5">
        <v>112124.97</v>
      </c>
      <c r="C87" s="5">
        <v>110241.83</v>
      </c>
      <c r="D87" s="5">
        <v>111285.44</v>
      </c>
      <c r="E87" s="5">
        <v>116786.04</v>
      </c>
    </row>
    <row r="88" spans="1:5" x14ac:dyDescent="0.25">
      <c r="A88" s="4" t="s">
        <v>78</v>
      </c>
      <c r="B88" s="5">
        <v>57081.05</v>
      </c>
      <c r="C88" s="5">
        <v>46341.39</v>
      </c>
      <c r="D88" s="5">
        <v>71136.86</v>
      </c>
      <c r="E88" s="5">
        <v>85812.14</v>
      </c>
    </row>
    <row r="89" spans="1:5" x14ac:dyDescent="0.25">
      <c r="A89" s="4" t="s">
        <v>79</v>
      </c>
      <c r="B89" s="9">
        <v>0.71340000000000003</v>
      </c>
      <c r="C89" s="9">
        <v>0.63290000000000002</v>
      </c>
      <c r="D89" s="9">
        <v>0.71350000000000002</v>
      </c>
      <c r="E89" s="9">
        <v>0.71060000000000001</v>
      </c>
    </row>
    <row r="90" spans="1:5" x14ac:dyDescent="0.25">
      <c r="A90" s="4" t="s">
        <v>80</v>
      </c>
      <c r="B90" s="9">
        <v>0.14849999999999999</v>
      </c>
      <c r="C90" s="9">
        <v>0.27339999999999998</v>
      </c>
      <c r="D90" s="9">
        <v>0.19980000000000001</v>
      </c>
      <c r="E90" s="9">
        <v>0.15429999999999999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Acumulados 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Ignacio Exeni</cp:lastModifiedBy>
  <dcterms:created xsi:type="dcterms:W3CDTF">2026-04-28T23:32:37Z</dcterms:created>
  <dcterms:modified xsi:type="dcterms:W3CDTF">2026-04-29T21:10:39Z</dcterms:modified>
</cp:coreProperties>
</file>